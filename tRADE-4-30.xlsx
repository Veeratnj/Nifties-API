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766D67BF-FAA8-445A-83EF-FD3BE916EFEA}" xr6:coauthVersionLast="36" xr6:coauthVersionMax="36" xr10:uidLastSave="{00000000-0000-0000-0000-000000000000}"/>
  <bookViews>
    <workbookView xWindow="0" yWindow="0" windowWidth="15345" windowHeight="4470" xr2:uid="{128A1A32-FD7D-43B2-BE20-33EF45610BB5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" l="1"/>
  <c r="J6" i="2"/>
  <c r="F6" i="2"/>
  <c r="F5" i="2" l="1"/>
  <c r="G5" i="2"/>
  <c r="F4" i="2"/>
  <c r="G4" i="2"/>
  <c r="J4" i="2" s="1"/>
  <c r="G3" i="2"/>
  <c r="J3" i="2" s="1"/>
  <c r="F3" i="2"/>
  <c r="G2" i="2"/>
  <c r="F2" i="2"/>
  <c r="J5" i="2" l="1"/>
  <c r="J2" i="2"/>
  <c r="G18" i="1"/>
  <c r="J18" i="1"/>
  <c r="F18" i="1"/>
  <c r="G17" i="1"/>
  <c r="F17" i="1"/>
  <c r="J17" i="1" s="1"/>
  <c r="G16" i="1"/>
  <c r="F16" i="1"/>
  <c r="G15" i="1"/>
  <c r="J15" i="1" s="1"/>
  <c r="F15" i="1"/>
  <c r="J16" i="1" l="1"/>
  <c r="J14" i="1"/>
  <c r="G14" i="1"/>
  <c r="F14" i="1"/>
  <c r="G13" i="1"/>
  <c r="J13" i="1"/>
  <c r="F13" i="1"/>
  <c r="C13" i="1"/>
  <c r="G12" i="1"/>
  <c r="J12" i="1"/>
  <c r="F12" i="1"/>
  <c r="C12" i="1"/>
  <c r="C11" i="1"/>
  <c r="G11" i="1" s="1"/>
  <c r="J11" i="1" s="1"/>
  <c r="C7" i="1"/>
  <c r="G7" i="1" s="1"/>
  <c r="F11" i="1"/>
  <c r="G10" i="1"/>
  <c r="J10" i="1" s="1"/>
  <c r="F10" i="1"/>
  <c r="G9" i="1"/>
  <c r="J9" i="1" s="1"/>
  <c r="F9" i="1"/>
  <c r="G8" i="1"/>
  <c r="F8" i="1"/>
  <c r="J8" i="1" s="1"/>
  <c r="F7" i="1"/>
  <c r="F3" i="1"/>
  <c r="J3" i="1" s="1"/>
  <c r="G3" i="1"/>
  <c r="F4" i="1"/>
  <c r="G4" i="1"/>
  <c r="F5" i="1"/>
  <c r="G5" i="1"/>
  <c r="F6" i="1"/>
  <c r="G6" i="1"/>
  <c r="J6" i="1" s="1"/>
  <c r="G2" i="1"/>
  <c r="J2" i="1" s="1"/>
  <c r="F2" i="1"/>
  <c r="J7" i="1" l="1"/>
  <c r="J5" i="1"/>
  <c r="J4" i="1"/>
</calcChain>
</file>

<file path=xl/sharedStrings.xml><?xml version="1.0" encoding="utf-8"?>
<sst xmlns="http://schemas.openxmlformats.org/spreadsheetml/2006/main" count="60" uniqueCount="30">
  <si>
    <t>Buy</t>
  </si>
  <si>
    <t>NATURALGAS-Dec2025-455PE</t>
  </si>
  <si>
    <t>CRUDEOIL-Jan2026-5000CE</t>
  </si>
  <si>
    <t>CRUDEOIL-Jan2026-5100PE</t>
  </si>
  <si>
    <t>CRUDEOIL-Dec2025-5200PE</t>
  </si>
  <si>
    <t>CRUDEOIL-Dec2025-5400PE</t>
  </si>
  <si>
    <t>CRUDEOIL-Dec2025-5300CE</t>
  </si>
  <si>
    <t>CRUDEOIL-Dec2025-5250CE</t>
  </si>
  <si>
    <t>CRUDEOIL-Dec2025-5450PE</t>
  </si>
  <si>
    <t>NATURALGAS-Dec2025-430CE</t>
  </si>
  <si>
    <t>SYMBOL</t>
  </si>
  <si>
    <t>ORDER</t>
  </si>
  <si>
    <t>QUANTITY</t>
  </si>
  <si>
    <t>BUY ENTRY</t>
  </si>
  <si>
    <t>SELL ENTRY</t>
  </si>
  <si>
    <t>ENTRY TIME</t>
  </si>
  <si>
    <t>EXIT TIME</t>
  </si>
  <si>
    <t>P&amp;L</t>
  </si>
  <si>
    <t>NIFTY-Dec2025-25800CE</t>
  </si>
  <si>
    <t>NIFTY-Dec2025-25850CE</t>
  </si>
  <si>
    <t>SENSEX-Dec2025-84800PE</t>
  </si>
  <si>
    <t>SENSEX-Dec2025-85600PE</t>
  </si>
  <si>
    <t>NIFTY-Dec2025-26150CE</t>
  </si>
  <si>
    <t>CRUDEOIL-Jan2026-5300CE</t>
  </si>
  <si>
    <t>NATURALGAS-Dec2025-380CE</t>
  </si>
  <si>
    <t xml:space="preserve">NIFTY-Dec2025-26200PE </t>
  </si>
  <si>
    <t xml:space="preserve">BANKNIFTY-Dec2025-59300PE </t>
  </si>
  <si>
    <t xml:space="preserve">FINNIFTY-Dec2025-27700PE </t>
  </si>
  <si>
    <t xml:space="preserve">SENSEX-Jan2026-85500PE </t>
  </si>
  <si>
    <t>CRUDEOIL-Jan2026-5400PE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</si>
</sst>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\ hh:mm:ss\ AM/PM"/>
  </numFmts>
  <fonts count="4" x14ac:knownFonts="1">
    <font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F19F-0FE9-4C47-9878-D229E4350F79}">
  <dimension ref="A1:J18"/>
  <sheetViews>
    <sheetView tabSelected="1" workbookViewId="0">
      <selection activeCell="M11" sqref="M11"/>
    </sheetView>
  </sheetViews>
  <sheetFormatPr defaultRowHeight="15" x14ac:dyDescent="0.25"/>
  <cols>
    <col min="1" max="1" width="27.28515625" style="1" bestFit="1" customWidth="1"/>
    <col min="2" max="5" width="9.140625" style="1"/>
    <col min="6" max="7" width="8" style="1" bestFit="1" customWidth="1"/>
    <col min="8" max="8" width="30.140625" style="2" customWidth="1"/>
    <col min="9" max="9" width="23" style="1" bestFit="1" customWidth="1"/>
    <col min="10" max="10" width="9.5703125" style="3" bestFit="1" customWidth="1"/>
    <col min="11" max="16384" width="9.140625" style="1"/>
  </cols>
  <sheetData>
    <row r="1" spans="1:10" s="5" customFormat="1" ht="47.25" customHeight="1" x14ac:dyDescent="0.25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H1" s="6" t="s">
        <v>15</v>
      </c>
      <c r="I1" s="5" t="s">
        <v>16</v>
      </c>
      <c r="J1" s="7" t="s">
        <v>17</v>
      </c>
    </row>
    <row r="2" spans="1:10" x14ac:dyDescent="0.25">
      <c r="A2" s="1" t="s">
        <v>25</v>
      </c>
      <c r="B2" s="1" t="s">
        <v>0</v>
      </c>
      <c r="C2" s="1">
        <v>225</v>
      </c>
      <c r="D2" s="1">
        <v>117.6</v>
      </c>
      <c r="E2" s="1">
        <v>130.75</v>
      </c>
      <c r="F2" s="1">
        <f>D2*C2</f>
        <v>26460</v>
      </c>
      <c r="G2" s="1">
        <f>E2*C2</f>
        <v>29418.75</v>
      </c>
      <c r="H2" s="2">
        <v>46017.390520833331</v>
      </c>
      <c r="I2" s="2">
        <v>46017.402175925927</v>
      </c>
      <c r="J2" s="4">
        <f>G2-F2</f>
        <v>2958.75</v>
      </c>
    </row>
    <row r="3" spans="1:10" x14ac:dyDescent="0.25">
      <c r="A3" s="1" t="s">
        <v>26</v>
      </c>
      <c r="B3" s="1" t="s">
        <v>0</v>
      </c>
      <c r="C3" s="1">
        <v>70</v>
      </c>
      <c r="D3" s="1">
        <v>265.2</v>
      </c>
      <c r="E3" s="1">
        <v>237.45</v>
      </c>
      <c r="F3" s="1">
        <f>D3*C3</f>
        <v>18564</v>
      </c>
      <c r="G3" s="1">
        <f>E3*C3</f>
        <v>16621.5</v>
      </c>
      <c r="H3" s="2">
        <v>46017.390694444446</v>
      </c>
      <c r="I3" s="2">
        <v>46017.394479166665</v>
      </c>
      <c r="J3" s="8">
        <f>G3-F3</f>
        <v>-1942.5</v>
      </c>
    </row>
    <row r="4" spans="1:10" x14ac:dyDescent="0.25">
      <c r="A4" s="1" t="s">
        <v>27</v>
      </c>
      <c r="B4" s="1" t="s">
        <v>0</v>
      </c>
      <c r="C4" s="1">
        <v>130</v>
      </c>
      <c r="D4" s="1">
        <v>184.05</v>
      </c>
      <c r="E4" s="1">
        <v>197.65</v>
      </c>
      <c r="F4" s="1">
        <f>D4*C4</f>
        <v>23926.5</v>
      </c>
      <c r="G4" s="1">
        <f>E4*C4</f>
        <v>25694.5</v>
      </c>
      <c r="H4" s="2">
        <v>46017.396655092591</v>
      </c>
      <c r="I4" s="2">
        <v>46017.422592592593</v>
      </c>
      <c r="J4" s="4">
        <f>G4-F4</f>
        <v>1768</v>
      </c>
    </row>
    <row r="5" spans="1:10" x14ac:dyDescent="0.25">
      <c r="A5" s="1" t="s">
        <v>28</v>
      </c>
      <c r="B5" s="1" t="s">
        <v>0</v>
      </c>
      <c r="C5" s="1">
        <v>50</v>
      </c>
      <c r="D5" s="1">
        <v>419</v>
      </c>
      <c r="E5" s="1">
        <v>465.95</v>
      </c>
      <c r="F5" s="1">
        <f>D5*C5</f>
        <v>20950</v>
      </c>
      <c r="G5" s="1">
        <f>E5*C5</f>
        <v>23297.5</v>
      </c>
      <c r="H5" s="2">
        <v>46017.460625</v>
      </c>
      <c r="I5" s="2">
        <v>46017.481273148151</v>
      </c>
      <c r="J5" s="4">
        <f>G5-F5</f>
        <v>2347.5</v>
      </c>
    </row>
    <row r="6" spans="1:10" x14ac:dyDescent="0.25">
      <c r="A6" s="1" t="s">
        <v>29</v>
      </c>
      <c r="B6" s="1" t="s">
        <v>0</v>
      </c>
      <c r="C6" s="1">
        <v>200</v>
      </c>
      <c r="D6" s="1">
        <v>229.1</v>
      </c>
      <c r="E6" s="1">
        <v>236.85</v>
      </c>
      <c r="F6" s="1">
        <f>D6*C6</f>
        <v>45820</v>
      </c>
      <c r="G6" s="1">
        <f>E6*C6</f>
        <v>47370</v>
      </c>
      <c r="H6" s="2">
        <v>46017.777569444443</v>
      </c>
      <c r="I6" s="2">
        <v>46017.80195601852</v>
      </c>
      <c r="J6" s="4">
        <f>G6-F6</f>
        <v>1550</v>
      </c>
    </row>
    <row r="7" spans="1:10" x14ac:dyDescent="0.25">
      <c r="I7" s="2"/>
      <c r="J7" s="4"/>
    </row>
    <row r="8" spans="1:10" x14ac:dyDescent="0.25">
      <c r="I8" s="2"/>
      <c r="J8" s="4"/>
    </row>
    <row r="9" spans="1:10" x14ac:dyDescent="0.25">
      <c r="I9" s="2"/>
      <c r="J9" s="4"/>
    </row>
    <row r="10" spans="1:10" x14ac:dyDescent="0.25">
      <c r="I10" s="2"/>
      <c r="J10" s="4"/>
    </row>
    <row r="11" spans="1:10" x14ac:dyDescent="0.25">
      <c r="I11" s="2"/>
      <c r="J11" s="4"/>
    </row>
    <row r="12" spans="1:10" x14ac:dyDescent="0.25">
      <c r="I12" s="2"/>
    </row>
    <row r="13" spans="1:10" x14ac:dyDescent="0.25">
      <c r="I13" s="2"/>
    </row>
    <row r="14" spans="1:10" x14ac:dyDescent="0.25">
      <c r="I14" s="2"/>
    </row>
    <row r="15" spans="1:10" x14ac:dyDescent="0.25">
      <c r="I15" s="2"/>
    </row>
    <row r="16" spans="1:10" x14ac:dyDescent="0.25">
      <c r="I16" s="2"/>
    </row>
    <row r="17" spans="9:9" x14ac:dyDescent="0.25">
      <c r="I17" s="2"/>
    </row>
    <row r="18" spans="9:9" x14ac:dyDescent="0.25">
      <c r="I1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F64B-94FC-4F35-B455-1C324D629982}">
  <dimension ref="A1:J18"/>
  <sheetViews>
    <sheetView workbookViewId="0">
      <selection activeCell="A2" sqref="A2"/>
    </sheetView>
  </sheetViews>
  <sheetFormatPr defaultRowHeight="15" x14ac:dyDescent="0.25"/>
  <cols>
    <col min="1" max="1" width="27.28515625" style="1" bestFit="1" customWidth="1"/>
    <col min="2" max="5" width="9.140625" style="1"/>
    <col min="6" max="7" width="8" style="1" bestFit="1" customWidth="1"/>
    <col min="8" max="8" width="30.140625" style="2" customWidth="1"/>
    <col min="9" max="9" width="23" style="1" bestFit="1" customWidth="1"/>
    <col min="10" max="10" width="9.5703125" style="3" bestFit="1" customWidth="1"/>
    <col min="11" max="16384" width="9.140625" style="1"/>
  </cols>
  <sheetData>
    <row r="1" spans="1:10" s="5" customFormat="1" ht="47.25" customHeight="1" x14ac:dyDescent="0.25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H1" s="6" t="s">
        <v>15</v>
      </c>
      <c r="I1" s="5" t="s">
        <v>16</v>
      </c>
      <c r="J1" s="7" t="s">
        <v>17</v>
      </c>
    </row>
    <row r="2" spans="1:10" x14ac:dyDescent="0.25">
      <c r="A2" s="1" t="s">
        <v>2</v>
      </c>
      <c r="B2" s="1" t="s">
        <v>0</v>
      </c>
      <c r="C2" s="1">
        <v>200</v>
      </c>
      <c r="D2" s="1">
        <v>229.1</v>
      </c>
      <c r="E2" s="1">
        <v>239.9</v>
      </c>
      <c r="F2" s="1">
        <f>D2*C2</f>
        <v>45820</v>
      </c>
      <c r="G2" s="1">
        <f>E2*C2</f>
        <v>47980</v>
      </c>
      <c r="H2" s="2">
        <v>46009.821770833332</v>
      </c>
      <c r="I2" s="2">
        <v>46009.836354166669</v>
      </c>
      <c r="J2" s="4">
        <f>G2-F2</f>
        <v>2160</v>
      </c>
    </row>
    <row r="3" spans="1:10" x14ac:dyDescent="0.25">
      <c r="A3" s="1" t="s">
        <v>3</v>
      </c>
      <c r="B3" s="1" t="s">
        <v>0</v>
      </c>
      <c r="C3" s="1">
        <v>200</v>
      </c>
      <c r="D3" s="1">
        <v>185.1</v>
      </c>
      <c r="E3" s="1">
        <v>196.2</v>
      </c>
      <c r="F3" s="1">
        <f t="shared" ref="F3:F18" si="0">D3*C3</f>
        <v>37020</v>
      </c>
      <c r="G3" s="1">
        <f t="shared" ref="G3:G18" si="1">E3*C3</f>
        <v>39240</v>
      </c>
      <c r="H3" s="2">
        <v>46008.813344907408</v>
      </c>
      <c r="I3" s="2">
        <v>46008.841296296298</v>
      </c>
      <c r="J3" s="4">
        <f t="shared" ref="J3:J18" si="2">G3-F3</f>
        <v>2220</v>
      </c>
    </row>
    <row r="4" spans="1:10" x14ac:dyDescent="0.25">
      <c r="A4" s="1" t="s">
        <v>4</v>
      </c>
      <c r="B4" s="1" t="s">
        <v>0</v>
      </c>
      <c r="C4" s="1">
        <v>200</v>
      </c>
      <c r="D4" s="1">
        <v>143</v>
      </c>
      <c r="E4" s="1">
        <v>160</v>
      </c>
      <c r="F4" s="1">
        <f t="shared" si="0"/>
        <v>28600</v>
      </c>
      <c r="G4" s="1">
        <f t="shared" si="1"/>
        <v>32000</v>
      </c>
      <c r="H4" s="2">
        <v>46007.823229166665</v>
      </c>
      <c r="I4" s="2">
        <v>46007.823229166665</v>
      </c>
      <c r="J4" s="4">
        <f t="shared" si="2"/>
        <v>3400</v>
      </c>
    </row>
    <row r="5" spans="1:10" x14ac:dyDescent="0.25">
      <c r="A5" s="1" t="s">
        <v>5</v>
      </c>
      <c r="B5" s="1" t="s">
        <v>0</v>
      </c>
      <c r="C5" s="1">
        <v>200</v>
      </c>
      <c r="D5" s="1">
        <v>192</v>
      </c>
      <c r="E5" s="1">
        <v>204</v>
      </c>
      <c r="F5" s="1">
        <f t="shared" si="0"/>
        <v>38400</v>
      </c>
      <c r="G5" s="1">
        <f t="shared" si="1"/>
        <v>40800</v>
      </c>
      <c r="H5" s="2">
        <v>46002.799444444441</v>
      </c>
      <c r="I5" s="2">
        <v>46002.800659722219</v>
      </c>
      <c r="J5" s="4">
        <f t="shared" si="2"/>
        <v>2400</v>
      </c>
    </row>
    <row r="6" spans="1:10" x14ac:dyDescent="0.25">
      <c r="A6" s="1" t="s">
        <v>5</v>
      </c>
      <c r="B6" s="1" t="s">
        <v>0</v>
      </c>
      <c r="C6" s="1">
        <v>200</v>
      </c>
      <c r="D6" s="1">
        <v>141</v>
      </c>
      <c r="E6" s="1">
        <v>164</v>
      </c>
      <c r="F6" s="1">
        <f t="shared" si="0"/>
        <v>28200</v>
      </c>
      <c r="G6" s="1">
        <f t="shared" si="1"/>
        <v>32800</v>
      </c>
      <c r="H6" s="2">
        <v>46000.779386574075</v>
      </c>
      <c r="I6" s="2">
        <v>46000.843425925923</v>
      </c>
      <c r="J6" s="4">
        <f t="shared" si="2"/>
        <v>4600</v>
      </c>
    </row>
    <row r="7" spans="1:10" x14ac:dyDescent="0.25">
      <c r="A7" s="1" t="s">
        <v>1</v>
      </c>
      <c r="B7" s="1" t="s">
        <v>0</v>
      </c>
      <c r="C7" s="1">
        <f>1250*2</f>
        <v>2500</v>
      </c>
      <c r="D7" s="1">
        <v>21.95</v>
      </c>
      <c r="E7" s="1">
        <v>24.75</v>
      </c>
      <c r="F7" s="1">
        <f t="shared" si="0"/>
        <v>54875</v>
      </c>
      <c r="G7" s="1">
        <f t="shared" si="1"/>
        <v>61875</v>
      </c>
      <c r="H7" s="2">
        <v>45999.693310185183</v>
      </c>
      <c r="I7" s="2">
        <v>45999.755312499998</v>
      </c>
      <c r="J7" s="4">
        <f t="shared" si="2"/>
        <v>7000</v>
      </c>
    </row>
    <row r="8" spans="1:10" x14ac:dyDescent="0.25">
      <c r="A8" s="1" t="s">
        <v>6</v>
      </c>
      <c r="B8" s="1" t="s">
        <v>0</v>
      </c>
      <c r="C8" s="1">
        <v>200</v>
      </c>
      <c r="D8" s="1">
        <v>170</v>
      </c>
      <c r="E8" s="1">
        <v>198.25</v>
      </c>
      <c r="F8" s="1">
        <f t="shared" si="0"/>
        <v>34000</v>
      </c>
      <c r="G8" s="1">
        <f t="shared" si="1"/>
        <v>39650</v>
      </c>
      <c r="H8" s="2">
        <v>45996.857222222221</v>
      </c>
      <c r="I8" s="2">
        <v>45996.876550925925</v>
      </c>
      <c r="J8" s="4">
        <f t="shared" si="2"/>
        <v>5650</v>
      </c>
    </row>
    <row r="9" spans="1:10" x14ac:dyDescent="0.25">
      <c r="A9" s="1" t="s">
        <v>7</v>
      </c>
      <c r="B9" s="1" t="s">
        <v>0</v>
      </c>
      <c r="C9" s="1">
        <v>200</v>
      </c>
      <c r="D9" s="1">
        <v>171</v>
      </c>
      <c r="E9" s="1">
        <v>186.14</v>
      </c>
      <c r="F9" s="1">
        <f t="shared" si="0"/>
        <v>34200</v>
      </c>
      <c r="G9" s="1">
        <f t="shared" si="1"/>
        <v>37228</v>
      </c>
      <c r="H9" s="2">
        <v>45995.66302083333</v>
      </c>
      <c r="I9" s="2">
        <v>45995.679270833331</v>
      </c>
      <c r="J9" s="4">
        <f t="shared" si="2"/>
        <v>3028</v>
      </c>
    </row>
    <row r="10" spans="1:10" x14ac:dyDescent="0.25">
      <c r="A10" s="1" t="s">
        <v>8</v>
      </c>
      <c r="B10" s="1" t="s">
        <v>0</v>
      </c>
      <c r="C10" s="1">
        <v>200</v>
      </c>
      <c r="D10" s="1">
        <v>177</v>
      </c>
      <c r="E10" s="1">
        <v>199</v>
      </c>
      <c r="F10" s="1">
        <f t="shared" si="0"/>
        <v>35400</v>
      </c>
      <c r="G10" s="1">
        <f t="shared" si="1"/>
        <v>39800</v>
      </c>
      <c r="H10" s="2">
        <v>45994.67559027778</v>
      </c>
      <c r="I10" s="2">
        <v>45994.825902777775</v>
      </c>
      <c r="J10" s="4">
        <f t="shared" si="2"/>
        <v>4400</v>
      </c>
    </row>
    <row r="11" spans="1:10" x14ac:dyDescent="0.25">
      <c r="A11" s="1" t="s">
        <v>9</v>
      </c>
      <c r="B11" s="1" t="s">
        <v>0</v>
      </c>
      <c r="C11" s="1">
        <f>1250*2</f>
        <v>2500</v>
      </c>
      <c r="D11" s="1">
        <v>27.9</v>
      </c>
      <c r="E11" s="1">
        <v>30.3</v>
      </c>
      <c r="F11" s="1">
        <f t="shared" si="0"/>
        <v>69750</v>
      </c>
      <c r="G11" s="1">
        <f t="shared" si="1"/>
        <v>75750</v>
      </c>
      <c r="H11" s="2">
        <v>45992.73777777778</v>
      </c>
      <c r="I11" s="2">
        <v>45992.909733796296</v>
      </c>
      <c r="J11" s="4">
        <f t="shared" si="2"/>
        <v>6000</v>
      </c>
    </row>
    <row r="12" spans="1:10" x14ac:dyDescent="0.25">
      <c r="A12" s="1" t="s">
        <v>18</v>
      </c>
      <c r="B12" s="1" t="s">
        <v>0</v>
      </c>
      <c r="C12" s="1">
        <f>75*3</f>
        <v>225</v>
      </c>
      <c r="D12" s="1">
        <v>185</v>
      </c>
      <c r="E12" s="1">
        <v>215</v>
      </c>
      <c r="F12" s="1">
        <f t="shared" si="0"/>
        <v>41625</v>
      </c>
      <c r="G12" s="1">
        <f t="shared" si="1"/>
        <v>48375</v>
      </c>
      <c r="H12" s="2">
        <v>46010.392731481479</v>
      </c>
      <c r="I12" s="2">
        <v>46010.397835648146</v>
      </c>
      <c r="J12" s="3">
        <f t="shared" si="2"/>
        <v>6750</v>
      </c>
    </row>
    <row r="13" spans="1:10" x14ac:dyDescent="0.25">
      <c r="A13" s="1" t="s">
        <v>19</v>
      </c>
      <c r="B13" s="1" t="s">
        <v>0</v>
      </c>
      <c r="C13" s="1">
        <f>75*3</f>
        <v>225</v>
      </c>
      <c r="D13" s="1">
        <v>139</v>
      </c>
      <c r="E13" s="1">
        <v>152</v>
      </c>
      <c r="F13" s="1">
        <f t="shared" si="0"/>
        <v>31275</v>
      </c>
      <c r="G13" s="1">
        <f t="shared" si="1"/>
        <v>34200</v>
      </c>
      <c r="H13" s="2">
        <v>46009.523796296293</v>
      </c>
      <c r="I13" s="2">
        <v>46009.546111111114</v>
      </c>
      <c r="J13" s="3">
        <f t="shared" si="2"/>
        <v>2925</v>
      </c>
    </row>
    <row r="14" spans="1:10" x14ac:dyDescent="0.25">
      <c r="A14" s="1" t="s">
        <v>20</v>
      </c>
      <c r="B14" s="1" t="s">
        <v>0</v>
      </c>
      <c r="C14" s="1">
        <v>50</v>
      </c>
      <c r="D14" s="1">
        <v>210</v>
      </c>
      <c r="E14" s="1">
        <v>290</v>
      </c>
      <c r="F14" s="1">
        <f t="shared" si="0"/>
        <v>10500</v>
      </c>
      <c r="G14" s="1">
        <f t="shared" si="1"/>
        <v>14500</v>
      </c>
      <c r="H14" s="2">
        <v>46009.570324074077</v>
      </c>
      <c r="I14" s="2">
        <v>46009.590092592596</v>
      </c>
      <c r="J14" s="3">
        <f t="shared" si="2"/>
        <v>4000</v>
      </c>
    </row>
    <row r="15" spans="1:10" x14ac:dyDescent="0.25">
      <c r="A15" s="1" t="s">
        <v>21</v>
      </c>
      <c r="B15" s="1" t="s">
        <v>0</v>
      </c>
      <c r="C15" s="1">
        <v>50</v>
      </c>
      <c r="D15" s="1">
        <v>170</v>
      </c>
      <c r="E15" s="1">
        <v>199</v>
      </c>
      <c r="F15" s="1">
        <f t="shared" si="0"/>
        <v>8500</v>
      </c>
      <c r="G15" s="1">
        <f t="shared" si="1"/>
        <v>9950</v>
      </c>
      <c r="H15" s="2">
        <v>46015.58699074074</v>
      </c>
      <c r="I15" s="2">
        <v>46015.60050925926</v>
      </c>
      <c r="J15" s="3">
        <f t="shared" si="2"/>
        <v>1450</v>
      </c>
    </row>
    <row r="16" spans="1:10" x14ac:dyDescent="0.25">
      <c r="A16" s="1" t="s">
        <v>22</v>
      </c>
      <c r="B16" s="1" t="s">
        <v>0</v>
      </c>
      <c r="C16" s="1">
        <v>225</v>
      </c>
      <c r="D16" s="1">
        <v>151.9</v>
      </c>
      <c r="E16" s="1">
        <v>147.57</v>
      </c>
      <c r="F16" s="1">
        <f t="shared" si="0"/>
        <v>34177.5</v>
      </c>
      <c r="G16" s="1">
        <f t="shared" si="1"/>
        <v>33203.25</v>
      </c>
      <c r="H16" s="2">
        <v>46015.423877314817</v>
      </c>
      <c r="I16" s="2">
        <v>46015.949490740742</v>
      </c>
      <c r="J16" s="3">
        <f t="shared" si="2"/>
        <v>-974.25</v>
      </c>
    </row>
    <row r="17" spans="1:10" x14ac:dyDescent="0.25">
      <c r="A17" s="1" t="s">
        <v>23</v>
      </c>
      <c r="B17" s="1" t="s">
        <v>0</v>
      </c>
      <c r="C17" s="1">
        <v>200</v>
      </c>
      <c r="D17" s="1">
        <v>135.27000000000001</v>
      </c>
      <c r="E17" s="1">
        <v>144.5</v>
      </c>
      <c r="F17" s="1">
        <f t="shared" si="0"/>
        <v>27054.000000000004</v>
      </c>
      <c r="G17" s="1">
        <f t="shared" si="1"/>
        <v>28900</v>
      </c>
      <c r="H17" s="2">
        <v>46015.889803240738</v>
      </c>
      <c r="I17" s="2">
        <v>46015.936180555553</v>
      </c>
      <c r="J17" s="3">
        <f t="shared" si="2"/>
        <v>1845.9999999999964</v>
      </c>
    </row>
    <row r="18" spans="1:10" x14ac:dyDescent="0.25">
      <c r="A18" s="1" t="s">
        <v>24</v>
      </c>
      <c r="B18" s="1" t="s">
        <v>0</v>
      </c>
      <c r="C18" s="1">
        <v>2500</v>
      </c>
      <c r="D18" s="1">
        <v>21.3</v>
      </c>
      <c r="E18" s="1">
        <v>23.2</v>
      </c>
      <c r="F18" s="1">
        <f t="shared" si="0"/>
        <v>53250</v>
      </c>
      <c r="G18" s="1">
        <f t="shared" si="1"/>
        <v>58000</v>
      </c>
      <c r="H18" s="2">
        <v>46015.742002314815</v>
      </c>
      <c r="I18" s="2">
        <v>46015.760092592594</v>
      </c>
      <c r="J18" s="3">
        <f t="shared" si="2"/>
        <v>4750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2025-12-22T08:54:05Z</dcterms:created>
  <dcterms:modified xsi:type="dcterms:W3CDTF">2025-12-28T08:43:52Z</dcterms:modified>
</cp:coreProperties>
</file>